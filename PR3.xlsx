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Genimo\Downloads\"/>
    </mc:Choice>
  </mc:AlternateContent>
  <xr:revisionPtr revIDLastSave="0" documentId="13_ncr:1_{0EF0421C-3A3F-4C9B-8D1D-388B295AE6F8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Динамика" sheetId="1" r:id="rId1"/>
    <sheet name="Графики" sheetId="2" r:id="rId2"/>
    <sheet name="Доступность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8" i="1" l="1"/>
  <c r="H18" i="1"/>
  <c r="K18" i="1"/>
  <c r="N18" i="1"/>
  <c r="Q18" i="1"/>
  <c r="T18" i="1"/>
  <c r="D28" i="3"/>
  <c r="E28" i="3" s="1"/>
  <c r="E27" i="3"/>
  <c r="F27" i="3" s="1"/>
  <c r="G27" i="3" s="1"/>
  <c r="E26" i="3"/>
  <c r="F26" i="3" s="1"/>
  <c r="G26" i="3" s="1"/>
  <c r="E25" i="3"/>
  <c r="F25" i="3" s="1"/>
  <c r="G25" i="3" s="1"/>
  <c r="E24" i="3"/>
  <c r="F24" i="3" s="1"/>
  <c r="G24" i="3" s="1"/>
  <c r="E23" i="3"/>
  <c r="F23" i="3" s="1"/>
  <c r="G23" i="3" s="1"/>
  <c r="E22" i="3"/>
  <c r="F22" i="3" s="1"/>
  <c r="G22" i="3" s="1"/>
  <c r="E21" i="3"/>
  <c r="F21" i="3" s="1"/>
  <c r="G21" i="3" s="1"/>
  <c r="E20" i="3"/>
  <c r="F20" i="3" s="1"/>
  <c r="G20" i="3" s="1"/>
  <c r="E19" i="3"/>
  <c r="F19" i="3" s="1"/>
  <c r="G19" i="3" s="1"/>
  <c r="E18" i="3"/>
  <c r="F18" i="3" s="1"/>
  <c r="G18" i="3" s="1"/>
  <c r="E17" i="3"/>
  <c r="F17" i="3" s="1"/>
  <c r="G17" i="3" s="1"/>
  <c r="E16" i="3"/>
  <c r="F16" i="3" s="1"/>
  <c r="G16" i="3" s="1"/>
  <c r="C11" i="3"/>
  <c r="E11" i="3" s="1"/>
  <c r="E12" i="1" s="1"/>
  <c r="F12" i="1" s="1"/>
  <c r="C10" i="3"/>
  <c r="E10" i="3" s="1"/>
  <c r="E11" i="1" s="1"/>
  <c r="F11" i="1" s="1"/>
  <c r="C9" i="3"/>
  <c r="E9" i="3" s="1"/>
  <c r="E10" i="1" s="1"/>
  <c r="F10" i="1" s="1"/>
  <c r="C8" i="3"/>
  <c r="E8" i="3" s="1"/>
  <c r="E9" i="1" s="1"/>
  <c r="F9" i="1" s="1"/>
  <c r="C7" i="3"/>
  <c r="E7" i="3" s="1"/>
  <c r="E8" i="1" s="1"/>
  <c r="F8" i="1" s="1"/>
  <c r="C6" i="3"/>
  <c r="E6" i="3" s="1"/>
  <c r="E7" i="1" s="1"/>
  <c r="F7" i="1" s="1"/>
  <c r="C5" i="3"/>
  <c r="E5" i="3" s="1"/>
  <c r="E6" i="1" s="1"/>
  <c r="F6" i="1" s="1"/>
  <c r="C4" i="3"/>
  <c r="E4" i="3" s="1"/>
  <c r="E5" i="1" s="1"/>
  <c r="F5" i="1" s="1"/>
  <c r="C3" i="3"/>
  <c r="E3" i="3" s="1"/>
  <c r="E4" i="1" s="1"/>
  <c r="F4" i="1" s="1"/>
  <c r="C2" i="3"/>
  <c r="E2" i="3" s="1"/>
  <c r="E3" i="1" s="1"/>
  <c r="U12" i="1"/>
  <c r="R12" i="1"/>
  <c r="O12" i="1"/>
  <c r="L12" i="1"/>
  <c r="I12" i="1"/>
  <c r="U11" i="1"/>
  <c r="R11" i="1"/>
  <c r="O11" i="1"/>
  <c r="L11" i="1"/>
  <c r="I11" i="1"/>
  <c r="U10" i="1"/>
  <c r="R10" i="1"/>
  <c r="O10" i="1"/>
  <c r="L10" i="1"/>
  <c r="I10" i="1"/>
  <c r="U9" i="1"/>
  <c r="R9" i="1"/>
  <c r="O9" i="1"/>
  <c r="L9" i="1"/>
  <c r="I9" i="1"/>
  <c r="U8" i="1"/>
  <c r="R8" i="1"/>
  <c r="O8" i="1"/>
  <c r="L8" i="1"/>
  <c r="I8" i="1"/>
  <c r="U7" i="1"/>
  <c r="R7" i="1"/>
  <c r="O7" i="1"/>
  <c r="L7" i="1"/>
  <c r="I7" i="1"/>
  <c r="U6" i="1"/>
  <c r="R6" i="1"/>
  <c r="O6" i="1"/>
  <c r="L6" i="1"/>
  <c r="I6" i="1"/>
  <c r="U5" i="1"/>
  <c r="R5" i="1"/>
  <c r="O5" i="1"/>
  <c r="L5" i="1"/>
  <c r="I5" i="1"/>
  <c r="U4" i="1"/>
  <c r="R4" i="1"/>
  <c r="O4" i="1"/>
  <c r="L4" i="1"/>
  <c r="I4" i="1"/>
  <c r="U3" i="1"/>
  <c r="R3" i="1"/>
  <c r="O3" i="1"/>
  <c r="L3" i="1"/>
  <c r="I3" i="1"/>
  <c r="U2" i="1"/>
  <c r="R2" i="1"/>
  <c r="O2" i="1"/>
  <c r="L2" i="1"/>
  <c r="I2" i="1"/>
  <c r="F2" i="1"/>
  <c r="F3" i="1" l="1"/>
  <c r="G28" i="3"/>
</calcChain>
</file>

<file path=xl/sharedStrings.xml><?xml version="1.0" encoding="utf-8"?>
<sst xmlns="http://schemas.openxmlformats.org/spreadsheetml/2006/main" count="105" uniqueCount="76">
  <si>
    <t>Релиз</t>
  </si>
  <si>
    <t>Нед.</t>
  </si>
  <si>
    <t>Источник лебедя</t>
  </si>
  <si>
    <t>M1 Доступность API, % цель</t>
  </si>
  <si>
    <t>M1 Доступность API, % факт</t>
  </si>
  <si>
    <t>M1 Доступность API, % откл. п.п.</t>
  </si>
  <si>
    <t>M2 p95, мс цель</t>
  </si>
  <si>
    <t>M2 p95, мс факт</t>
  </si>
  <si>
    <t>M2 p95, мс откл.</t>
  </si>
  <si>
    <t>M3 Решение P1, ч цель</t>
  </si>
  <si>
    <t>M3 Решение P1, ч факт</t>
  </si>
  <si>
    <t>M3 Решение P1, ч откл.</t>
  </si>
  <si>
    <t>M4 Неудачные выкладки, % цель</t>
  </si>
  <si>
    <t>M4 Неудачные выкладки, % факт</t>
  </si>
  <si>
    <t>M4 Неудачные выкладки, % откл. п.п.</t>
  </si>
  <si>
    <t>M5 MTTR, мин цель</t>
  </si>
  <si>
    <t>M5 MTTR, мин факт</t>
  </si>
  <si>
    <t>M5 MTTR, мин откл.</t>
  </si>
  <si>
    <t>M6 Обращения на 1000 цель</t>
  </si>
  <si>
    <t>M6 Обращения на 1000 факт</t>
  </si>
  <si>
    <t>M6 Обращения на 1000 откл.</t>
  </si>
  <si>
    <t>T0</t>
  </si>
  <si>
    <t>-</t>
  </si>
  <si>
    <t>R1</t>
  </si>
  <si>
    <t>Техника</t>
  </si>
  <si>
    <t>R2</t>
  </si>
  <si>
    <t>Поставщик</t>
  </si>
  <si>
    <t>R3</t>
  </si>
  <si>
    <t>Люди</t>
  </si>
  <si>
    <t>R4</t>
  </si>
  <si>
    <t>Рынок</t>
  </si>
  <si>
    <t>R5</t>
  </si>
  <si>
    <t>Регулирование</t>
  </si>
  <si>
    <t>R6</t>
  </si>
  <si>
    <t>R7</t>
  </si>
  <si>
    <t>R8</t>
  </si>
  <si>
    <t>R9</t>
  </si>
  <si>
    <t>R10</t>
  </si>
  <si>
    <t>Цель выполнена, релизов из 10 (R1-R10)</t>
  </si>
  <si>
    <t>Для M1 хорошо, когда факт не ниже цели; для M2-M6 - когда факт не выше цели. Пустой факт M3 (нет P1) считается выполнением.</t>
  </si>
  <si>
    <t>Откл. = факт - цель. Для M1 и M4 отклонение в процентных пунктах. Цели меняются по релизам, причины пересмотра - в разделе 5.5 отчёта.</t>
  </si>
  <si>
    <t>Динамика ключевых метрик: цель и факт по релизам</t>
  </si>
  <si>
    <t>Графики строятся по листу «Динамика» и обновляются при изменении значений.</t>
  </si>
  <si>
    <t>Длительность, нед.</t>
  </si>
  <si>
    <t>Минут в горизонте</t>
  </si>
  <si>
    <t>Недоступные минуты</t>
  </si>
  <si>
    <t>Доступность API</t>
  </si>
  <si>
    <t>Месяц</t>
  </si>
  <si>
    <t>Год</t>
  </si>
  <si>
    <t>Минут в месяце</t>
  </si>
  <si>
    <t>Кредит, % (SLA 8.1)</t>
  </si>
  <si>
    <t>Кредит, млн руб.</t>
  </si>
  <si>
    <t>Причина</t>
  </si>
  <si>
    <t>Ноябрь</t>
  </si>
  <si>
    <t>2026</t>
  </si>
  <si>
    <t>R1: отказ контроллера СХД</t>
  </si>
  <si>
    <t>Декабрь</t>
  </si>
  <si>
    <t>R2: сбой CDN</t>
  </si>
  <si>
    <t>Январь</t>
  </si>
  <si>
    <t>2027</t>
  </si>
  <si>
    <t>Февраль</t>
  </si>
  <si>
    <t>Март</t>
  </si>
  <si>
    <t>R4: приход маркетплейса</t>
  </si>
  <si>
    <t>Апрель</t>
  </si>
  <si>
    <t>Май</t>
  </si>
  <si>
    <t>R6: ошибка в окне работ</t>
  </si>
  <si>
    <t>Июнь</t>
  </si>
  <si>
    <t>Июль</t>
  </si>
  <si>
    <t>R7: тест переключения</t>
  </si>
  <si>
    <t>Август</t>
  </si>
  <si>
    <t>Сентябрь</t>
  </si>
  <si>
    <t>R9 исключён разделом 1 SLA</t>
  </si>
  <si>
    <t>Октябрь</t>
  </si>
  <si>
    <t>R10: переполнение идентификатора</t>
  </si>
  <si>
    <t>Итого</t>
  </si>
  <si>
    <t>Шкала кредитов SLA 8.1: от 99,95% - нет; 99,90-99,94% - 1%; 99,50-99,89% - 3%; 99,00-99,49% - 5%; ниже 99,00% - 10%.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</si>
</sst>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%"/>
    <numFmt numFmtId="165" formatCode="0.000"/>
    <numFmt numFmtId="166" formatCode="0.0"/>
    <numFmt numFmtId="167" formatCode="#,##0.0"/>
  </numFmts>
  <fonts count="2" x14ac:knownFonts="1">
    <font>
      <sz val="11"/>
      <color theme="1"/>
      <name val="Calibri"/>
      <family val="2"/>
      <charset val="1"/>
    </font>
    <font>
      <sz val="11"/>
      <name val="Cambri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Border="1"/>
    <xf numFmtId="164" fontId="1" fillId="0" borderId="0" xfId="0" applyNumberFormat="1" applyFont="1" applyBorder="1"/>
    <xf numFmtId="165" fontId="1" fillId="0" borderId="0" xfId="0" applyNumberFormat="1" applyFont="1" applyBorder="1"/>
    <xf numFmtId="1" fontId="1" fillId="0" borderId="0" xfId="0" applyNumberFormat="1" applyFont="1" applyBorder="1"/>
    <xf numFmtId="166" fontId="1" fillId="0" borderId="0" xfId="0" applyNumberFormat="1" applyFont="1" applyBorder="1"/>
    <xf numFmtId="9" fontId="1" fillId="0" borderId="0" xfId="0" applyNumberFormat="1" applyFont="1" applyBorder="1"/>
    <xf numFmtId="0" fontId="0" fillId="0" borderId="0" xfId="0" applyBorder="1"/>
    <xf numFmtId="3" fontId="1" fillId="0" borderId="0" xfId="0" applyNumberFormat="1" applyFont="1" applyBorder="1"/>
    <xf numFmtId="167" fontId="1" fillId="0" borderId="0" xfId="0" applyNumberFormat="1" applyFont="1" applyBorder="1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F5F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M1 </a:t>
            </a: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Доступность 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API,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Цель</c:v>
          </c:tx>
          <c:spPr>
            <a:ln w="19080">
              <a:solidFill>
                <a:srgbClr val="80808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Динамика!$A$2:$A$12</c:f>
              <c:strCache>
                <c:ptCount val="11"/>
                <c:pt idx="0">
                  <c:v>T0</c:v>
                </c:pt>
                <c:pt idx="1">
                  <c:v>R1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  <c:pt idx="5">
                  <c:v>R5</c:v>
                </c:pt>
                <c:pt idx="6">
                  <c:v>R6</c:v>
                </c:pt>
                <c:pt idx="7">
                  <c:v>R7</c:v>
                </c:pt>
                <c:pt idx="8">
                  <c:v>R8</c:v>
                </c:pt>
                <c:pt idx="9">
                  <c:v>R9</c:v>
                </c:pt>
                <c:pt idx="10">
                  <c:v>R10</c:v>
                </c:pt>
              </c:strCache>
            </c:strRef>
          </c:cat>
          <c:val>
            <c:numRef>
              <c:f>Динамика!$D$2:$D$12</c:f>
              <c:numCache>
                <c:formatCode>0.000%</c:formatCode>
                <c:ptCount val="11"/>
                <c:pt idx="1">
                  <c:v>0.99950000000000006</c:v>
                </c:pt>
                <c:pt idx="2">
                  <c:v>0.99950000000000006</c:v>
                </c:pt>
                <c:pt idx="3">
                  <c:v>0.99950000000000006</c:v>
                </c:pt>
                <c:pt idx="4">
                  <c:v>0.99950000000000006</c:v>
                </c:pt>
                <c:pt idx="5">
                  <c:v>0.99950000000000006</c:v>
                </c:pt>
                <c:pt idx="6">
                  <c:v>0.99950000000000006</c:v>
                </c:pt>
                <c:pt idx="7">
                  <c:v>0.99950000000000006</c:v>
                </c:pt>
                <c:pt idx="8">
                  <c:v>0.99950000000000006</c:v>
                </c:pt>
                <c:pt idx="9">
                  <c:v>0.99950000000000006</c:v>
                </c:pt>
                <c:pt idx="10">
                  <c:v>0.99970000000000003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53-4A3F-8D05-819F2E1B0B27}"/>
            </c:ext>
          </c:extLst>
        </c:ser>
        <c:ser>
          <c:idx val="1"/>
          <c:order val="1"/>
          <c:tx>
            <c:v>Факт</c:v>
          </c:tx>
          <c:spPr>
            <a:ln w="28440">
              <a:solidFill>
                <a:srgbClr val="1F5FA8"/>
              </a:solidFill>
              <a:round/>
            </a:ln>
          </c:spPr>
          <c:marker>
            <c:symbol val="circle"/>
            <c:size val="6"/>
            <c:spPr>
              <a:solidFill>
                <a:srgbClr val="1F5FA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Динамика!$A$2:$A$12</c:f>
              <c:strCache>
                <c:ptCount val="11"/>
                <c:pt idx="0">
                  <c:v>T0</c:v>
                </c:pt>
                <c:pt idx="1">
                  <c:v>R1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  <c:pt idx="5">
                  <c:v>R5</c:v>
                </c:pt>
                <c:pt idx="6">
                  <c:v>R6</c:v>
                </c:pt>
                <c:pt idx="7">
                  <c:v>R7</c:v>
                </c:pt>
                <c:pt idx="8">
                  <c:v>R8</c:v>
                </c:pt>
                <c:pt idx="9">
                  <c:v>R9</c:v>
                </c:pt>
                <c:pt idx="10">
                  <c:v>R10</c:v>
                </c:pt>
              </c:strCache>
            </c:strRef>
          </c:cat>
          <c:val>
            <c:numRef>
              <c:f>Динамика!$E$2:$E$12</c:f>
              <c:numCache>
                <c:formatCode>0.000%</c:formatCode>
                <c:ptCount val="11"/>
                <c:pt idx="0">
                  <c:v>0.99919999999999998</c:v>
                </c:pt>
                <c:pt idx="1">
                  <c:v>0.99900793650793651</c:v>
                </c:pt>
                <c:pt idx="2">
                  <c:v>0.99945436507936503</c:v>
                </c:pt>
                <c:pt idx="3">
                  <c:v>0.99970238095238095</c:v>
                </c:pt>
                <c:pt idx="4">
                  <c:v>0.99909060846560849</c:v>
                </c:pt>
                <c:pt idx="5">
                  <c:v>0.99985119047619042</c:v>
                </c:pt>
                <c:pt idx="6">
                  <c:v>0.99778439153439158</c:v>
                </c:pt>
                <c:pt idx="7">
                  <c:v>0.99971478174603179</c:v>
                </c:pt>
                <c:pt idx="8">
                  <c:v>0.99987599206349209</c:v>
                </c:pt>
                <c:pt idx="9">
                  <c:v>0.99987599206349209</c:v>
                </c:pt>
                <c:pt idx="10">
                  <c:v>0.99843749999999998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53-4A3F-8D05-819F2E1B0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1276581"/>
        <c:axId val="89388994"/>
      </c:lineChart>
      <c:catAx>
        <c:axId val="912765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ru-RU" sz="1000" b="1" strike="noStrike" spc="-1">
                    <a:solidFill>
                      <a:srgbClr val="000000"/>
                    </a:solidFill>
                    <a:latin typeface="Calibri"/>
                  </a:rPr>
                  <a:t>Релиз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89388994"/>
        <c:crosses val="autoZero"/>
        <c:auto val="1"/>
        <c:lblAlgn val="ctr"/>
        <c:lblOffset val="100"/>
        <c:noMultiLvlLbl val="0"/>
      </c:catAx>
      <c:valAx>
        <c:axId val="89388994"/>
        <c:scaling>
          <c:orientation val="minMax"/>
          <c:max val="1"/>
          <c:min val="0.997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ru-RU" sz="1000" b="1" strike="noStrike" spc="-1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127658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M2 </a:t>
            </a: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Время ответа 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API p95, </a:t>
            </a: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мс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Цель</c:v>
          </c:tx>
          <c:spPr>
            <a:ln w="19080">
              <a:solidFill>
                <a:srgbClr val="80808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Динамика!$A$2:$A$12</c:f>
              <c:strCache>
                <c:ptCount val="11"/>
                <c:pt idx="0">
                  <c:v>T0</c:v>
                </c:pt>
                <c:pt idx="1">
                  <c:v>R1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  <c:pt idx="5">
                  <c:v>R5</c:v>
                </c:pt>
                <c:pt idx="6">
                  <c:v>R6</c:v>
                </c:pt>
                <c:pt idx="7">
                  <c:v>R7</c:v>
                </c:pt>
                <c:pt idx="8">
                  <c:v>R8</c:v>
                </c:pt>
                <c:pt idx="9">
                  <c:v>R9</c:v>
                </c:pt>
                <c:pt idx="10">
                  <c:v>R10</c:v>
                </c:pt>
              </c:strCache>
            </c:strRef>
          </c:cat>
          <c:val>
            <c:numRef>
              <c:f>Динамика!$G$2:$G$12</c:f>
              <c:numCache>
                <c:formatCode>0</c:formatCode>
                <c:ptCount val="11"/>
                <c:pt idx="0">
                  <c:v>800</c:v>
                </c:pt>
                <c:pt idx="1">
                  <c:v>900</c:v>
                </c:pt>
                <c:pt idx="2">
                  <c:v>900</c:v>
                </c:pt>
                <c:pt idx="3">
                  <c:v>900</c:v>
                </c:pt>
                <c:pt idx="4">
                  <c:v>800</c:v>
                </c:pt>
                <c:pt idx="5">
                  <c:v>900</c:v>
                </c:pt>
                <c:pt idx="6">
                  <c:v>900</c:v>
                </c:pt>
                <c:pt idx="7">
                  <c:v>900</c:v>
                </c:pt>
                <c:pt idx="8">
                  <c:v>800</c:v>
                </c:pt>
                <c:pt idx="9">
                  <c:v>800</c:v>
                </c:pt>
                <c:pt idx="10">
                  <c:v>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70-426A-80D5-1A2B9F16C737}"/>
            </c:ext>
          </c:extLst>
        </c:ser>
        <c:ser>
          <c:idx val="1"/>
          <c:order val="1"/>
          <c:tx>
            <c:v>Факт</c:v>
          </c:tx>
          <c:spPr>
            <a:ln w="28440">
              <a:solidFill>
                <a:srgbClr val="1F5FA8"/>
              </a:solidFill>
              <a:round/>
            </a:ln>
          </c:spPr>
          <c:marker>
            <c:symbol val="circle"/>
            <c:size val="6"/>
            <c:spPr>
              <a:solidFill>
                <a:srgbClr val="1F5FA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Динамика!$A$2:$A$12</c:f>
              <c:strCache>
                <c:ptCount val="11"/>
                <c:pt idx="0">
                  <c:v>T0</c:v>
                </c:pt>
                <c:pt idx="1">
                  <c:v>R1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  <c:pt idx="5">
                  <c:v>R5</c:v>
                </c:pt>
                <c:pt idx="6">
                  <c:v>R6</c:v>
                </c:pt>
                <c:pt idx="7">
                  <c:v>R7</c:v>
                </c:pt>
                <c:pt idx="8">
                  <c:v>R8</c:v>
                </c:pt>
                <c:pt idx="9">
                  <c:v>R9</c:v>
                </c:pt>
                <c:pt idx="10">
                  <c:v>R10</c:v>
                </c:pt>
              </c:strCache>
            </c:strRef>
          </c:cat>
          <c:val>
            <c:numRef>
              <c:f>Динамика!$H$2:$H$12</c:f>
              <c:numCache>
                <c:formatCode>0</c:formatCode>
                <c:ptCount val="11"/>
                <c:pt idx="0">
                  <c:v>950</c:v>
                </c:pt>
                <c:pt idx="1">
                  <c:v>1180</c:v>
                </c:pt>
                <c:pt idx="2">
                  <c:v>1020</c:v>
                </c:pt>
                <c:pt idx="3">
                  <c:v>890</c:v>
                </c:pt>
                <c:pt idx="4">
                  <c:v>1010</c:v>
                </c:pt>
                <c:pt idx="5">
                  <c:v>870</c:v>
                </c:pt>
                <c:pt idx="6">
                  <c:v>860</c:v>
                </c:pt>
                <c:pt idx="7">
                  <c:v>1050</c:v>
                </c:pt>
                <c:pt idx="8">
                  <c:v>820</c:v>
                </c:pt>
                <c:pt idx="9">
                  <c:v>790</c:v>
                </c:pt>
                <c:pt idx="10">
                  <c:v>780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70-426A-80D5-1A2B9F16C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7774084"/>
        <c:axId val="76788671"/>
      </c:lineChart>
      <c:catAx>
        <c:axId val="377740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ru-RU" sz="1000" b="1" strike="noStrike" spc="-1">
                    <a:solidFill>
                      <a:srgbClr val="000000"/>
                    </a:solidFill>
                    <a:latin typeface="Calibri"/>
                  </a:rPr>
                  <a:t>Релиз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76788671"/>
        <c:crosses val="autoZero"/>
        <c:auto val="1"/>
        <c:lblAlgn val="ctr"/>
        <c:lblOffset val="100"/>
        <c:noMultiLvlLbl val="0"/>
      </c:catAx>
      <c:valAx>
        <c:axId val="76788671"/>
        <c:scaling>
          <c:orientation val="minMax"/>
          <c:max val="1250"/>
          <c:min val="7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ru-RU" sz="1000" b="1" strike="noStrike" spc="-1">
                    <a:solidFill>
                      <a:srgbClr val="000000"/>
                    </a:solidFill>
                    <a:latin typeface="Calibri"/>
                  </a:rPr>
                  <a:t>мс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3777408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M3 </a:t>
            </a: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Макс. время решения 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P1, </a:t>
            </a: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Цель</c:v>
          </c:tx>
          <c:spPr>
            <a:ln w="19080">
              <a:solidFill>
                <a:srgbClr val="80808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Динамика!$A$2:$A$12</c:f>
              <c:strCache>
                <c:ptCount val="11"/>
                <c:pt idx="0">
                  <c:v>T0</c:v>
                </c:pt>
                <c:pt idx="1">
                  <c:v>R1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  <c:pt idx="5">
                  <c:v>R5</c:v>
                </c:pt>
                <c:pt idx="6">
                  <c:v>R6</c:v>
                </c:pt>
                <c:pt idx="7">
                  <c:v>R7</c:v>
                </c:pt>
                <c:pt idx="8">
                  <c:v>R8</c:v>
                </c:pt>
                <c:pt idx="9">
                  <c:v>R9</c:v>
                </c:pt>
                <c:pt idx="10">
                  <c:v>R10</c:v>
                </c:pt>
              </c:strCache>
            </c:strRef>
          </c:cat>
          <c:val>
            <c:numRef>
              <c:f>Динамика!$J$2:$J$12</c:f>
              <c:numCache>
                <c:formatCode>0.0</c:formatCode>
                <c:ptCount val="1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68-4588-8117-F111211B8F24}"/>
            </c:ext>
          </c:extLst>
        </c:ser>
        <c:ser>
          <c:idx val="1"/>
          <c:order val="1"/>
          <c:tx>
            <c:v>Факт</c:v>
          </c:tx>
          <c:spPr>
            <a:ln w="28440">
              <a:solidFill>
                <a:srgbClr val="1F5FA8"/>
              </a:solidFill>
              <a:round/>
            </a:ln>
          </c:spPr>
          <c:marker>
            <c:symbol val="circle"/>
            <c:size val="6"/>
            <c:spPr>
              <a:solidFill>
                <a:srgbClr val="1F5FA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Динамика!$A$2:$A$12</c:f>
              <c:strCache>
                <c:ptCount val="11"/>
                <c:pt idx="0">
                  <c:v>T0</c:v>
                </c:pt>
                <c:pt idx="1">
                  <c:v>R1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  <c:pt idx="5">
                  <c:v>R5</c:v>
                </c:pt>
                <c:pt idx="6">
                  <c:v>R6</c:v>
                </c:pt>
                <c:pt idx="7">
                  <c:v>R7</c:v>
                </c:pt>
                <c:pt idx="8">
                  <c:v>R8</c:v>
                </c:pt>
                <c:pt idx="9">
                  <c:v>R9</c:v>
                </c:pt>
                <c:pt idx="10">
                  <c:v>R10</c:v>
                </c:pt>
              </c:strCache>
            </c:strRef>
          </c:cat>
          <c:val>
            <c:numRef>
              <c:f>Динамика!$K$2:$K$12</c:f>
              <c:numCache>
                <c:formatCode>0.0</c:formatCode>
                <c:ptCount val="11"/>
                <c:pt idx="0">
                  <c:v>3.5</c:v>
                </c:pt>
                <c:pt idx="1">
                  <c:v>3.1</c:v>
                </c:pt>
                <c:pt idx="2">
                  <c:v>0.6</c:v>
                </c:pt>
                <c:pt idx="4">
                  <c:v>3.6</c:v>
                </c:pt>
                <c:pt idx="6">
                  <c:v>4.5999999999999996</c:v>
                </c:pt>
                <c:pt idx="7">
                  <c:v>0.4</c:v>
                </c:pt>
                <c:pt idx="10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68-4588-8117-F111211B8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8412120"/>
        <c:axId val="89559120"/>
      </c:lineChart>
      <c:catAx>
        <c:axId val="384121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ru-RU" sz="1000" b="1" strike="noStrike" spc="-1">
                    <a:solidFill>
                      <a:srgbClr val="000000"/>
                    </a:solidFill>
                    <a:latin typeface="Calibri"/>
                  </a:rPr>
                  <a:t>Релиз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89559120"/>
        <c:crosses val="autoZero"/>
        <c:auto val="1"/>
        <c:lblAlgn val="ctr"/>
        <c:lblOffset val="100"/>
        <c:noMultiLvlLbl val="0"/>
      </c:catAx>
      <c:valAx>
        <c:axId val="89559120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ru-RU" sz="1000" b="1" strike="noStrike" spc="-1">
                    <a:solidFill>
                      <a:srgbClr val="000000"/>
                    </a:solidFill>
                    <a:latin typeface="Calibri"/>
                  </a:rPr>
                  <a:t>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3841212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M4 </a:t>
            </a: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Доля неудачных выкладок,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Цель</c:v>
          </c:tx>
          <c:spPr>
            <a:ln w="19080">
              <a:solidFill>
                <a:srgbClr val="80808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Динамика!$A$2:$A$12</c:f>
              <c:strCache>
                <c:ptCount val="11"/>
                <c:pt idx="0">
                  <c:v>T0</c:v>
                </c:pt>
                <c:pt idx="1">
                  <c:v>R1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  <c:pt idx="5">
                  <c:v>R5</c:v>
                </c:pt>
                <c:pt idx="6">
                  <c:v>R6</c:v>
                </c:pt>
                <c:pt idx="7">
                  <c:v>R7</c:v>
                </c:pt>
                <c:pt idx="8">
                  <c:v>R8</c:v>
                </c:pt>
                <c:pt idx="9">
                  <c:v>R9</c:v>
                </c:pt>
                <c:pt idx="10">
                  <c:v>R10</c:v>
                </c:pt>
              </c:strCache>
            </c:strRef>
          </c:cat>
          <c:val>
            <c:numRef>
              <c:f>Динамика!$M$2:$M$12</c:f>
              <c:numCache>
                <c:formatCode>0%</c:formatCode>
                <c:ptCount val="11"/>
                <c:pt idx="0">
                  <c:v>0.15</c:v>
                </c:pt>
                <c:pt idx="1">
                  <c:v>0.15</c:v>
                </c:pt>
                <c:pt idx="2">
                  <c:v>0.1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0.15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E5-4DC8-AC0A-C2208061F84A}"/>
            </c:ext>
          </c:extLst>
        </c:ser>
        <c:ser>
          <c:idx val="1"/>
          <c:order val="1"/>
          <c:tx>
            <c:v>Факт</c:v>
          </c:tx>
          <c:spPr>
            <a:ln w="28440">
              <a:solidFill>
                <a:srgbClr val="1F5FA8"/>
              </a:solidFill>
              <a:round/>
            </a:ln>
          </c:spPr>
          <c:marker>
            <c:symbol val="circle"/>
            <c:size val="6"/>
            <c:spPr>
              <a:solidFill>
                <a:srgbClr val="1F5FA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Динамика!$A$2:$A$12</c:f>
              <c:strCache>
                <c:ptCount val="11"/>
                <c:pt idx="0">
                  <c:v>T0</c:v>
                </c:pt>
                <c:pt idx="1">
                  <c:v>R1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  <c:pt idx="5">
                  <c:v>R5</c:v>
                </c:pt>
                <c:pt idx="6">
                  <c:v>R6</c:v>
                </c:pt>
                <c:pt idx="7">
                  <c:v>R7</c:v>
                </c:pt>
                <c:pt idx="8">
                  <c:v>R8</c:v>
                </c:pt>
                <c:pt idx="9">
                  <c:v>R9</c:v>
                </c:pt>
                <c:pt idx="10">
                  <c:v>R10</c:v>
                </c:pt>
              </c:strCache>
            </c:strRef>
          </c:cat>
          <c:val>
            <c:numRef>
              <c:f>Динамика!$N$2:$N$12</c:f>
              <c:numCache>
                <c:formatCode>0%</c:formatCode>
                <c:ptCount val="11"/>
                <c:pt idx="0">
                  <c:v>0.18</c:v>
                </c:pt>
                <c:pt idx="1">
                  <c:v>0.14000000000000001</c:v>
                </c:pt>
                <c:pt idx="2">
                  <c:v>0.06</c:v>
                </c:pt>
                <c:pt idx="3">
                  <c:v>0.31</c:v>
                </c:pt>
                <c:pt idx="4">
                  <c:v>0.17</c:v>
                </c:pt>
                <c:pt idx="5">
                  <c:v>0.12</c:v>
                </c:pt>
                <c:pt idx="6">
                  <c:v>0.13</c:v>
                </c:pt>
                <c:pt idx="7">
                  <c:v>0.11</c:v>
                </c:pt>
                <c:pt idx="8">
                  <c:v>0.1</c:v>
                </c:pt>
                <c:pt idx="9">
                  <c:v>0.09</c:v>
                </c:pt>
                <c:pt idx="10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E5-4DC8-AC0A-C2208061F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5117085"/>
        <c:axId val="23625953"/>
      </c:lineChart>
      <c:catAx>
        <c:axId val="851170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ru-RU" sz="1000" b="1" strike="noStrike" spc="-1">
                    <a:solidFill>
                      <a:srgbClr val="000000"/>
                    </a:solidFill>
                    <a:latin typeface="Calibri"/>
                  </a:rPr>
                  <a:t>Релиз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3625953"/>
        <c:crosses val="autoZero"/>
        <c:auto val="1"/>
        <c:lblAlgn val="ctr"/>
        <c:lblOffset val="100"/>
        <c:noMultiLvlLbl val="0"/>
      </c:catAx>
      <c:valAx>
        <c:axId val="23625953"/>
        <c:scaling>
          <c:orientation val="minMax"/>
          <c:max val="0.3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ru-RU" sz="1000" b="1" strike="noStrike" spc="-1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8511708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M5 </a:t>
            </a: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Среднее время восстановления, мин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Цель</c:v>
          </c:tx>
          <c:spPr>
            <a:ln w="19080">
              <a:solidFill>
                <a:srgbClr val="80808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Динамика!$A$2:$A$12</c:f>
              <c:strCache>
                <c:ptCount val="11"/>
                <c:pt idx="0">
                  <c:v>T0</c:v>
                </c:pt>
                <c:pt idx="1">
                  <c:v>R1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  <c:pt idx="5">
                  <c:v>R5</c:v>
                </c:pt>
                <c:pt idx="6">
                  <c:v>R6</c:v>
                </c:pt>
                <c:pt idx="7">
                  <c:v>R7</c:v>
                </c:pt>
                <c:pt idx="8">
                  <c:v>R8</c:v>
                </c:pt>
                <c:pt idx="9">
                  <c:v>R9</c:v>
                </c:pt>
                <c:pt idx="10">
                  <c:v>R10</c:v>
                </c:pt>
              </c:strCache>
            </c:strRef>
          </c:cat>
          <c:val>
            <c:numRef>
              <c:f>Динамика!$P$2:$P$12</c:f>
              <c:numCache>
                <c:formatCode>0</c:formatCode>
                <c:ptCount val="11"/>
                <c:pt idx="0">
                  <c:v>18</c:v>
                </c:pt>
                <c:pt idx="1">
                  <c:v>25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DE-4344-A19F-632AC73C8278}"/>
            </c:ext>
          </c:extLst>
        </c:ser>
        <c:ser>
          <c:idx val="1"/>
          <c:order val="1"/>
          <c:tx>
            <c:v>Факт</c:v>
          </c:tx>
          <c:spPr>
            <a:ln w="28440">
              <a:solidFill>
                <a:srgbClr val="1F5FA8"/>
              </a:solidFill>
              <a:round/>
            </a:ln>
          </c:spPr>
          <c:marker>
            <c:symbol val="circle"/>
            <c:size val="6"/>
            <c:spPr>
              <a:solidFill>
                <a:srgbClr val="1F5FA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Динамика!$A$2:$A$12</c:f>
              <c:strCache>
                <c:ptCount val="11"/>
                <c:pt idx="0">
                  <c:v>T0</c:v>
                </c:pt>
                <c:pt idx="1">
                  <c:v>R1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  <c:pt idx="5">
                  <c:v>R5</c:v>
                </c:pt>
                <c:pt idx="6">
                  <c:v>R6</c:v>
                </c:pt>
                <c:pt idx="7">
                  <c:v>R7</c:v>
                </c:pt>
                <c:pt idx="8">
                  <c:v>R8</c:v>
                </c:pt>
                <c:pt idx="9">
                  <c:v>R9</c:v>
                </c:pt>
                <c:pt idx="10">
                  <c:v>R10</c:v>
                </c:pt>
              </c:strCache>
            </c:strRef>
          </c:cat>
          <c:val>
            <c:numRef>
              <c:f>Динамика!$Q$2:$Q$12</c:f>
              <c:numCache>
                <c:formatCode>0</c:formatCode>
                <c:ptCount val="11"/>
                <c:pt idx="0">
                  <c:v>42</c:v>
                </c:pt>
                <c:pt idx="1">
                  <c:v>31</c:v>
                </c:pt>
                <c:pt idx="2">
                  <c:v>17</c:v>
                </c:pt>
                <c:pt idx="3">
                  <c:v>24</c:v>
                </c:pt>
                <c:pt idx="4">
                  <c:v>21</c:v>
                </c:pt>
                <c:pt idx="5">
                  <c:v>14</c:v>
                </c:pt>
                <c:pt idx="6">
                  <c:v>48</c:v>
                </c:pt>
                <c:pt idx="7">
                  <c:v>9</c:v>
                </c:pt>
                <c:pt idx="8">
                  <c:v>8</c:v>
                </c:pt>
                <c:pt idx="9">
                  <c:v>7</c:v>
                </c:pt>
                <c:pt idx="10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DE-4344-A19F-632AC73C8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4134764"/>
        <c:axId val="26197966"/>
      </c:lineChart>
      <c:catAx>
        <c:axId val="341347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ru-RU" sz="1000" b="1" strike="noStrike" spc="-1">
                    <a:solidFill>
                      <a:srgbClr val="000000"/>
                    </a:solidFill>
                    <a:latin typeface="Calibri"/>
                  </a:rPr>
                  <a:t>Релиз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6197966"/>
        <c:crosses val="autoZero"/>
        <c:auto val="1"/>
        <c:lblAlgn val="ctr"/>
        <c:lblOffset val="100"/>
        <c:noMultiLvlLbl val="0"/>
      </c:catAx>
      <c:valAx>
        <c:axId val="26197966"/>
        <c:scaling>
          <c:orientation val="minMax"/>
          <c:max val="5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ru-RU" sz="1000" b="1" strike="noStrike" spc="-1">
                    <a:solidFill>
                      <a:srgbClr val="000000"/>
                    </a:solidFill>
                    <a:latin typeface="Calibri"/>
                  </a:rPr>
                  <a:t>мин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3413476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M6 </a:t>
            </a: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Обращения в КЦ, на 1000 отправлений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Цель</c:v>
          </c:tx>
          <c:spPr>
            <a:ln w="19080">
              <a:solidFill>
                <a:srgbClr val="80808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Динамика!$A$2:$A$12</c:f>
              <c:strCache>
                <c:ptCount val="11"/>
                <c:pt idx="0">
                  <c:v>T0</c:v>
                </c:pt>
                <c:pt idx="1">
                  <c:v>R1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  <c:pt idx="5">
                  <c:v>R5</c:v>
                </c:pt>
                <c:pt idx="6">
                  <c:v>R6</c:v>
                </c:pt>
                <c:pt idx="7">
                  <c:v>R7</c:v>
                </c:pt>
                <c:pt idx="8">
                  <c:v>R8</c:v>
                </c:pt>
                <c:pt idx="9">
                  <c:v>R9</c:v>
                </c:pt>
                <c:pt idx="10">
                  <c:v>R10</c:v>
                </c:pt>
              </c:strCache>
            </c:strRef>
          </c:cat>
          <c:val>
            <c:numRef>
              <c:f>Динамика!$S$2:$S$12</c:f>
              <c:numCache>
                <c:formatCode>0.0</c:formatCode>
                <c:ptCount val="11"/>
                <c:pt idx="1">
                  <c:v>6</c:v>
                </c:pt>
                <c:pt idx="2">
                  <c:v>6.5</c:v>
                </c:pt>
                <c:pt idx="3">
                  <c:v>5.0999999999999996</c:v>
                </c:pt>
                <c:pt idx="4">
                  <c:v>5.0999999999999996</c:v>
                </c:pt>
                <c:pt idx="5">
                  <c:v>5.0999999999999996</c:v>
                </c:pt>
                <c:pt idx="6">
                  <c:v>4.5999999999999996</c:v>
                </c:pt>
                <c:pt idx="7">
                  <c:v>4.5999999999999996</c:v>
                </c:pt>
                <c:pt idx="8">
                  <c:v>4.4000000000000004</c:v>
                </c:pt>
                <c:pt idx="9">
                  <c:v>4.2</c:v>
                </c:pt>
                <c:pt idx="10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B8-4152-BE7B-CEE886BBFC35}"/>
            </c:ext>
          </c:extLst>
        </c:ser>
        <c:ser>
          <c:idx val="1"/>
          <c:order val="1"/>
          <c:tx>
            <c:v>Факт</c:v>
          </c:tx>
          <c:spPr>
            <a:ln w="28440">
              <a:solidFill>
                <a:srgbClr val="1F5FA8"/>
              </a:solidFill>
              <a:round/>
            </a:ln>
          </c:spPr>
          <c:marker>
            <c:symbol val="circle"/>
            <c:size val="6"/>
            <c:spPr>
              <a:solidFill>
                <a:srgbClr val="1F5FA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Динамика!$A$2:$A$12</c:f>
              <c:strCache>
                <c:ptCount val="11"/>
                <c:pt idx="0">
                  <c:v>T0</c:v>
                </c:pt>
                <c:pt idx="1">
                  <c:v>R1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  <c:pt idx="5">
                  <c:v>R5</c:v>
                </c:pt>
                <c:pt idx="6">
                  <c:v>R6</c:v>
                </c:pt>
                <c:pt idx="7">
                  <c:v>R7</c:v>
                </c:pt>
                <c:pt idx="8">
                  <c:v>R8</c:v>
                </c:pt>
                <c:pt idx="9">
                  <c:v>R9</c:v>
                </c:pt>
                <c:pt idx="10">
                  <c:v>R10</c:v>
                </c:pt>
              </c:strCache>
            </c:strRef>
          </c:cat>
          <c:val>
            <c:numRef>
              <c:f>Динамика!$T$2:$T$12</c:f>
              <c:numCache>
                <c:formatCode>0.0</c:formatCode>
                <c:ptCount val="11"/>
                <c:pt idx="0">
                  <c:v>6</c:v>
                </c:pt>
                <c:pt idx="1">
                  <c:v>6.4</c:v>
                </c:pt>
                <c:pt idx="2">
                  <c:v>6.9</c:v>
                </c:pt>
                <c:pt idx="3">
                  <c:v>5.6</c:v>
                </c:pt>
                <c:pt idx="4">
                  <c:v>5.4</c:v>
                </c:pt>
                <c:pt idx="5">
                  <c:v>6.1</c:v>
                </c:pt>
                <c:pt idx="6">
                  <c:v>5</c:v>
                </c:pt>
                <c:pt idx="7">
                  <c:v>4.5999999999999996</c:v>
                </c:pt>
                <c:pt idx="8">
                  <c:v>5.3</c:v>
                </c:pt>
                <c:pt idx="9">
                  <c:v>4.8</c:v>
                </c:pt>
                <c:pt idx="10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B8-4152-BE7B-CEE886BBF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762032"/>
        <c:axId val="19980676"/>
      </c:lineChart>
      <c:catAx>
        <c:axId val="77620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ru-RU" sz="1000" b="1" strike="noStrike" spc="-1">
                    <a:solidFill>
                      <a:srgbClr val="000000"/>
                    </a:solidFill>
                    <a:latin typeface="Calibri"/>
                  </a:rPr>
                  <a:t>Релиз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19980676"/>
        <c:crosses val="autoZero"/>
        <c:auto val="1"/>
        <c:lblAlgn val="ctr"/>
        <c:lblOffset val="100"/>
        <c:noMultiLvlLbl val="0"/>
      </c:catAx>
      <c:valAx>
        <c:axId val="19980676"/>
        <c:scaling>
          <c:orientation val="minMax"/>
          <c:max val="7.5"/>
          <c:min val="4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ru-RU" sz="1000" b="1" strike="noStrike" spc="-1">
                    <a:solidFill>
                      <a:srgbClr val="000000"/>
                    </a:solidFill>
                    <a:latin typeface="Calibri"/>
                  </a:rPr>
                  <a:t>на 1000 отправлений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776203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9</xdr:col>
      <xdr:colOff>435960</xdr:colOff>
      <xdr:row>20</xdr:row>
      <xdr:rowOff>181440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</xdr:row>
      <xdr:rowOff>0</xdr:rowOff>
    </xdr:from>
    <xdr:to>
      <xdr:col>18</xdr:col>
      <xdr:colOff>436320</xdr:colOff>
      <xdr:row>20</xdr:row>
      <xdr:rowOff>181440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23</xdr:row>
      <xdr:rowOff>161925</xdr:rowOff>
    </xdr:from>
    <xdr:to>
      <xdr:col>9</xdr:col>
      <xdr:colOff>47625</xdr:colOff>
      <xdr:row>40</xdr:row>
      <xdr:rowOff>181080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23</xdr:row>
      <xdr:rowOff>0</xdr:rowOff>
    </xdr:from>
    <xdr:to>
      <xdr:col>18</xdr:col>
      <xdr:colOff>436320</xdr:colOff>
      <xdr:row>40</xdr:row>
      <xdr:rowOff>181080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43</xdr:row>
      <xdr:rowOff>0</xdr:rowOff>
    </xdr:from>
    <xdr:to>
      <xdr:col>9</xdr:col>
      <xdr:colOff>435960</xdr:colOff>
      <xdr:row>60</xdr:row>
      <xdr:rowOff>181080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43</xdr:row>
      <xdr:rowOff>0</xdr:rowOff>
    </xdr:from>
    <xdr:to>
      <xdr:col>18</xdr:col>
      <xdr:colOff>436320</xdr:colOff>
      <xdr:row>60</xdr:row>
      <xdr:rowOff>181080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"/>
  <sheetViews>
    <sheetView tabSelected="1" zoomScaleNormal="100" workbookViewId="0">
      <selection activeCell="Y12" sqref="Y12"/>
    </sheetView>
  </sheetViews>
  <sheetFormatPr defaultColWidth="8.7109375"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2" t="s">
        <v>21</v>
      </c>
      <c r="B2" s="2" t="s">
        <v>22</v>
      </c>
      <c r="C2" s="2" t="s">
        <v>22</v>
      </c>
      <c r="D2" s="3"/>
      <c r="E2" s="3">
        <v>0.99919999999999998</v>
      </c>
      <c r="F2" s="4" t="str">
        <f t="shared" ref="F2:F12" si="0">IF(OR(D2="",E2=""),"",(E2-D2)*100)</f>
        <v/>
      </c>
      <c r="G2" s="5">
        <v>800</v>
      </c>
      <c r="H2" s="5">
        <v>950</v>
      </c>
      <c r="I2" s="5">
        <f t="shared" ref="I2:I12" si="1">IF(OR(G2="",H2=""),"",H2-G2)</f>
        <v>150</v>
      </c>
      <c r="J2" s="6">
        <v>4</v>
      </c>
      <c r="K2" s="6">
        <v>3.5</v>
      </c>
      <c r="L2" s="6">
        <f t="shared" ref="L2:L12" si="2">IF(OR(J2="",K2=""),"",K2-J2)</f>
        <v>-0.5</v>
      </c>
      <c r="M2" s="7">
        <v>0.15</v>
      </c>
      <c r="N2" s="7">
        <v>0.18</v>
      </c>
      <c r="O2" s="5">
        <f t="shared" ref="O2:O12" si="3">IF(OR(M2="",N2=""),"",(N2-M2)*100)</f>
        <v>3</v>
      </c>
      <c r="P2" s="5">
        <v>18</v>
      </c>
      <c r="Q2" s="5">
        <v>42</v>
      </c>
      <c r="R2" s="5">
        <f t="shared" ref="R2:R12" si="4">IF(OR(P2="",Q2=""),"",Q2-P2)</f>
        <v>24</v>
      </c>
      <c r="S2" s="6"/>
      <c r="T2" s="6">
        <v>6</v>
      </c>
      <c r="U2" s="6" t="str">
        <f t="shared" ref="U2:U12" si="5">IF(OR(S2="",T2=""),"",T2-S2)</f>
        <v/>
      </c>
    </row>
    <row r="3" spans="1:21" x14ac:dyDescent="0.25">
      <c r="A3" s="2" t="s">
        <v>23</v>
      </c>
      <c r="B3" s="2">
        <v>4</v>
      </c>
      <c r="C3" s="2" t="s">
        <v>24</v>
      </c>
      <c r="D3" s="3">
        <v>0.99950000000000006</v>
      </c>
      <c r="E3" s="3">
        <f>Доступность!E2</f>
        <v>0.99900793650793651</v>
      </c>
      <c r="F3" s="4">
        <f t="shared" si="0"/>
        <v>-4.9206349206354361E-2</v>
      </c>
      <c r="G3" s="5">
        <v>900</v>
      </c>
      <c r="H3" s="5">
        <v>1180</v>
      </c>
      <c r="I3" s="5">
        <f t="shared" si="1"/>
        <v>280</v>
      </c>
      <c r="J3" s="6">
        <v>4</v>
      </c>
      <c r="K3" s="6">
        <v>3.1</v>
      </c>
      <c r="L3" s="6">
        <f t="shared" si="2"/>
        <v>-0.89999999999999991</v>
      </c>
      <c r="M3" s="7">
        <v>0.15</v>
      </c>
      <c r="N3" s="7">
        <v>0.14000000000000001</v>
      </c>
      <c r="O3" s="5">
        <f t="shared" si="3"/>
        <v>-0.99999999999999811</v>
      </c>
      <c r="P3" s="5">
        <v>25</v>
      </c>
      <c r="Q3" s="5">
        <v>31</v>
      </c>
      <c r="R3" s="5">
        <f t="shared" si="4"/>
        <v>6</v>
      </c>
      <c r="S3" s="6">
        <v>6</v>
      </c>
      <c r="T3" s="6">
        <v>6.4</v>
      </c>
      <c r="U3" s="6">
        <f t="shared" si="5"/>
        <v>0.40000000000000036</v>
      </c>
    </row>
    <row r="4" spans="1:21" x14ac:dyDescent="0.25">
      <c r="A4" s="2" t="s">
        <v>25</v>
      </c>
      <c r="B4" s="2">
        <v>8</v>
      </c>
      <c r="C4" s="2" t="s">
        <v>26</v>
      </c>
      <c r="D4" s="3">
        <v>0.99950000000000006</v>
      </c>
      <c r="E4" s="3">
        <f>Доступность!E3</f>
        <v>0.99945436507936503</v>
      </c>
      <c r="F4" s="4">
        <f t="shared" si="0"/>
        <v>-4.5634920635029275E-3</v>
      </c>
      <c r="G4" s="5">
        <v>900</v>
      </c>
      <c r="H4" s="5">
        <v>1020</v>
      </c>
      <c r="I4" s="5">
        <f t="shared" si="1"/>
        <v>120</v>
      </c>
      <c r="J4" s="6">
        <v>4</v>
      </c>
      <c r="K4" s="6">
        <v>0.6</v>
      </c>
      <c r="L4" s="6">
        <f t="shared" si="2"/>
        <v>-3.4</v>
      </c>
      <c r="M4" s="7">
        <v>0.1</v>
      </c>
      <c r="N4" s="7">
        <v>0.06</v>
      </c>
      <c r="O4" s="5">
        <f t="shared" si="3"/>
        <v>-4.0000000000000009</v>
      </c>
      <c r="P4" s="5">
        <v>18</v>
      </c>
      <c r="Q4" s="5">
        <v>17</v>
      </c>
      <c r="R4" s="5">
        <f t="shared" si="4"/>
        <v>-1</v>
      </c>
      <c r="S4" s="6">
        <v>6.5</v>
      </c>
      <c r="T4" s="6">
        <v>6.9</v>
      </c>
      <c r="U4" s="6">
        <f t="shared" si="5"/>
        <v>0.40000000000000036</v>
      </c>
    </row>
    <row r="5" spans="1:21" x14ac:dyDescent="0.25">
      <c r="A5" s="2" t="s">
        <v>27</v>
      </c>
      <c r="B5" s="2">
        <v>4</v>
      </c>
      <c r="C5" s="2" t="s">
        <v>28</v>
      </c>
      <c r="D5" s="3">
        <v>0.99950000000000006</v>
      </c>
      <c r="E5" s="3">
        <f>Доступность!E4</f>
        <v>0.99970238095238095</v>
      </c>
      <c r="F5" s="4">
        <f t="shared" si="0"/>
        <v>2.0238095238089837E-2</v>
      </c>
      <c r="G5" s="5">
        <v>900</v>
      </c>
      <c r="H5" s="5">
        <v>890</v>
      </c>
      <c r="I5" s="5">
        <f t="shared" si="1"/>
        <v>-10</v>
      </c>
      <c r="J5" s="6">
        <v>4</v>
      </c>
      <c r="K5" s="6"/>
      <c r="L5" s="6" t="str">
        <f t="shared" si="2"/>
        <v/>
      </c>
      <c r="M5" s="7">
        <v>0.15</v>
      </c>
      <c r="N5" s="7">
        <v>0.31</v>
      </c>
      <c r="O5" s="5">
        <f t="shared" si="3"/>
        <v>16</v>
      </c>
      <c r="P5" s="5">
        <v>18</v>
      </c>
      <c r="Q5" s="5">
        <v>24</v>
      </c>
      <c r="R5" s="5">
        <f t="shared" si="4"/>
        <v>6</v>
      </c>
      <c r="S5" s="6">
        <v>5.0999999999999996</v>
      </c>
      <c r="T5" s="6">
        <v>5.6</v>
      </c>
      <c r="U5" s="6">
        <f t="shared" si="5"/>
        <v>0.5</v>
      </c>
    </row>
    <row r="6" spans="1:21" x14ac:dyDescent="0.25">
      <c r="A6" s="2" t="s">
        <v>29</v>
      </c>
      <c r="B6" s="2">
        <v>6</v>
      </c>
      <c r="C6" s="2" t="s">
        <v>30</v>
      </c>
      <c r="D6" s="3">
        <v>0.99950000000000006</v>
      </c>
      <c r="E6" s="3">
        <f>Доступность!E5</f>
        <v>0.99909060846560849</v>
      </c>
      <c r="F6" s="4">
        <f t="shared" si="0"/>
        <v>-4.0939153439156772E-2</v>
      </c>
      <c r="G6" s="5">
        <v>800</v>
      </c>
      <c r="H6" s="5">
        <v>1010</v>
      </c>
      <c r="I6" s="5">
        <f t="shared" si="1"/>
        <v>210</v>
      </c>
      <c r="J6" s="6">
        <v>4</v>
      </c>
      <c r="K6" s="6">
        <v>3.6</v>
      </c>
      <c r="L6" s="6">
        <f t="shared" si="2"/>
        <v>-0.39999999999999991</v>
      </c>
      <c r="M6" s="7">
        <v>0.15</v>
      </c>
      <c r="N6" s="7">
        <v>0.17</v>
      </c>
      <c r="O6" s="5">
        <f t="shared" si="3"/>
        <v>2.0000000000000018</v>
      </c>
      <c r="P6" s="5">
        <v>18</v>
      </c>
      <c r="Q6" s="5">
        <v>21</v>
      </c>
      <c r="R6" s="5">
        <f t="shared" si="4"/>
        <v>3</v>
      </c>
      <c r="S6" s="6">
        <v>5.0999999999999996</v>
      </c>
      <c r="T6" s="6">
        <v>5.4</v>
      </c>
      <c r="U6" s="6">
        <f t="shared" si="5"/>
        <v>0.30000000000000071</v>
      </c>
    </row>
    <row r="7" spans="1:21" x14ac:dyDescent="0.25">
      <c r="A7" s="2" t="s">
        <v>31</v>
      </c>
      <c r="B7" s="2">
        <v>4</v>
      </c>
      <c r="C7" s="2" t="s">
        <v>32</v>
      </c>
      <c r="D7" s="3">
        <v>0.99950000000000006</v>
      </c>
      <c r="E7" s="3">
        <f>Доступность!E6</f>
        <v>0.99985119047619042</v>
      </c>
      <c r="F7" s="4">
        <f t="shared" si="0"/>
        <v>3.5119047619036614E-2</v>
      </c>
      <c r="G7" s="5">
        <v>900</v>
      </c>
      <c r="H7" s="5">
        <v>870</v>
      </c>
      <c r="I7" s="5">
        <f t="shared" si="1"/>
        <v>-30</v>
      </c>
      <c r="J7" s="6">
        <v>4</v>
      </c>
      <c r="K7" s="6"/>
      <c r="L7" s="6" t="str">
        <f t="shared" si="2"/>
        <v/>
      </c>
      <c r="M7" s="7">
        <v>0.15</v>
      </c>
      <c r="N7" s="7">
        <v>0.12</v>
      </c>
      <c r="O7" s="5">
        <f t="shared" si="3"/>
        <v>-3</v>
      </c>
      <c r="P7" s="5">
        <v>18</v>
      </c>
      <c r="Q7" s="5">
        <v>14</v>
      </c>
      <c r="R7" s="5">
        <f t="shared" si="4"/>
        <v>-4</v>
      </c>
      <c r="S7" s="6">
        <v>5.0999999999999996</v>
      </c>
      <c r="T7" s="6">
        <v>6.1</v>
      </c>
      <c r="U7" s="6">
        <f t="shared" si="5"/>
        <v>1</v>
      </c>
    </row>
    <row r="8" spans="1:21" x14ac:dyDescent="0.25">
      <c r="A8" s="2" t="s">
        <v>33</v>
      </c>
      <c r="B8" s="2">
        <v>6</v>
      </c>
      <c r="C8" s="2" t="s">
        <v>28</v>
      </c>
      <c r="D8" s="3">
        <v>0.99950000000000006</v>
      </c>
      <c r="E8" s="3">
        <f>Доступность!E7</f>
        <v>0.99778439153439158</v>
      </c>
      <c r="F8" s="4">
        <f t="shared" si="0"/>
        <v>-0.17156084656084758</v>
      </c>
      <c r="G8" s="5">
        <v>900</v>
      </c>
      <c r="H8" s="5">
        <v>860</v>
      </c>
      <c r="I8" s="5">
        <f t="shared" si="1"/>
        <v>-40</v>
      </c>
      <c r="J8" s="6">
        <v>4</v>
      </c>
      <c r="K8" s="6">
        <v>4.5999999999999996</v>
      </c>
      <c r="L8" s="6">
        <f t="shared" si="2"/>
        <v>0.59999999999999964</v>
      </c>
      <c r="M8" s="7">
        <v>0.15</v>
      </c>
      <c r="N8" s="7">
        <v>0.13</v>
      </c>
      <c r="O8" s="5">
        <f t="shared" si="3"/>
        <v>-1.9999999999999991</v>
      </c>
      <c r="P8" s="5">
        <v>18</v>
      </c>
      <c r="Q8" s="5">
        <v>48</v>
      </c>
      <c r="R8" s="5">
        <f t="shared" si="4"/>
        <v>30</v>
      </c>
      <c r="S8" s="6">
        <v>4.5999999999999996</v>
      </c>
      <c r="T8" s="6">
        <v>5</v>
      </c>
      <c r="U8" s="6">
        <f t="shared" si="5"/>
        <v>0.40000000000000036</v>
      </c>
    </row>
    <row r="9" spans="1:21" x14ac:dyDescent="0.25">
      <c r="A9" s="2" t="s">
        <v>34</v>
      </c>
      <c r="B9" s="2">
        <v>8</v>
      </c>
      <c r="C9" s="2" t="s">
        <v>26</v>
      </c>
      <c r="D9" s="3">
        <v>0.99950000000000006</v>
      </c>
      <c r="E9" s="3">
        <f>Доступность!E8</f>
        <v>0.99971478174603179</v>
      </c>
      <c r="F9" s="4">
        <f t="shared" si="0"/>
        <v>2.1478174603173361E-2</v>
      </c>
      <c r="G9" s="5">
        <v>900</v>
      </c>
      <c r="H9" s="5">
        <v>1050</v>
      </c>
      <c r="I9" s="5">
        <f t="shared" si="1"/>
        <v>150</v>
      </c>
      <c r="J9" s="6">
        <v>3</v>
      </c>
      <c r="K9" s="6">
        <v>0.4</v>
      </c>
      <c r="L9" s="6">
        <f t="shared" si="2"/>
        <v>-2.6</v>
      </c>
      <c r="M9" s="7">
        <v>0.12</v>
      </c>
      <c r="N9" s="7">
        <v>0.11</v>
      </c>
      <c r="O9" s="5">
        <f t="shared" si="3"/>
        <v>-0.99999999999999956</v>
      </c>
      <c r="P9" s="5">
        <v>10</v>
      </c>
      <c r="Q9" s="5">
        <v>9</v>
      </c>
      <c r="R9" s="5">
        <f t="shared" si="4"/>
        <v>-1</v>
      </c>
      <c r="S9" s="6">
        <v>4.5999999999999996</v>
      </c>
      <c r="T9" s="6">
        <v>4.5999999999999996</v>
      </c>
      <c r="U9" s="6">
        <f t="shared" si="5"/>
        <v>0</v>
      </c>
    </row>
    <row r="10" spans="1:21" x14ac:dyDescent="0.25">
      <c r="A10" s="2" t="s">
        <v>35</v>
      </c>
      <c r="B10" s="2">
        <v>4</v>
      </c>
      <c r="C10" s="2" t="s">
        <v>30</v>
      </c>
      <c r="D10" s="3">
        <v>0.99950000000000006</v>
      </c>
      <c r="E10" s="3">
        <f>Доступность!E9</f>
        <v>0.99987599206349209</v>
      </c>
      <c r="F10" s="4">
        <f t="shared" si="0"/>
        <v>3.7599206349203662E-2</v>
      </c>
      <c r="G10" s="5">
        <v>800</v>
      </c>
      <c r="H10" s="5">
        <v>820</v>
      </c>
      <c r="I10" s="5">
        <f t="shared" si="1"/>
        <v>20</v>
      </c>
      <c r="J10" s="6">
        <v>3</v>
      </c>
      <c r="K10" s="6"/>
      <c r="L10" s="6" t="str">
        <f t="shared" si="2"/>
        <v/>
      </c>
      <c r="M10" s="7">
        <v>0.12</v>
      </c>
      <c r="N10" s="7">
        <v>0.1</v>
      </c>
      <c r="O10" s="5">
        <f t="shared" si="3"/>
        <v>-1.9999999999999991</v>
      </c>
      <c r="P10" s="5">
        <v>10</v>
      </c>
      <c r="Q10" s="5">
        <v>8</v>
      </c>
      <c r="R10" s="5">
        <f t="shared" si="4"/>
        <v>-2</v>
      </c>
      <c r="S10" s="6">
        <v>4.4000000000000004</v>
      </c>
      <c r="T10" s="6">
        <v>5.3</v>
      </c>
      <c r="U10" s="6">
        <f t="shared" si="5"/>
        <v>0.89999999999999947</v>
      </c>
    </row>
    <row r="11" spans="1:21" x14ac:dyDescent="0.25">
      <c r="A11" s="2" t="s">
        <v>36</v>
      </c>
      <c r="B11" s="2">
        <v>4</v>
      </c>
      <c r="C11" s="2" t="s">
        <v>32</v>
      </c>
      <c r="D11" s="3">
        <v>0.99950000000000006</v>
      </c>
      <c r="E11" s="3">
        <f>Доступность!E10</f>
        <v>0.99987599206349209</v>
      </c>
      <c r="F11" s="4">
        <f t="shared" si="0"/>
        <v>3.7599206349203662E-2</v>
      </c>
      <c r="G11" s="5">
        <v>800</v>
      </c>
      <c r="H11" s="5">
        <v>790</v>
      </c>
      <c r="I11" s="5">
        <f t="shared" si="1"/>
        <v>-10</v>
      </c>
      <c r="J11" s="6">
        <v>3</v>
      </c>
      <c r="K11" s="6"/>
      <c r="L11" s="6" t="str">
        <f t="shared" si="2"/>
        <v/>
      </c>
      <c r="M11" s="7">
        <v>0.12</v>
      </c>
      <c r="N11" s="7">
        <v>0.09</v>
      </c>
      <c r="O11" s="5">
        <f t="shared" si="3"/>
        <v>-3</v>
      </c>
      <c r="P11" s="5">
        <v>10</v>
      </c>
      <c r="Q11" s="5">
        <v>7</v>
      </c>
      <c r="R11" s="5">
        <f t="shared" si="4"/>
        <v>-3</v>
      </c>
      <c r="S11" s="6">
        <v>4.2</v>
      </c>
      <c r="T11" s="6">
        <v>4.8</v>
      </c>
      <c r="U11" s="6">
        <f t="shared" si="5"/>
        <v>0.59999999999999964</v>
      </c>
    </row>
    <row r="12" spans="1:21" x14ac:dyDescent="0.25">
      <c r="A12" s="2" t="s">
        <v>37</v>
      </c>
      <c r="B12" s="2">
        <v>8</v>
      </c>
      <c r="C12" s="2" t="s">
        <v>24</v>
      </c>
      <c r="D12" s="3">
        <v>0.99970000000000003</v>
      </c>
      <c r="E12" s="3">
        <f>Доступность!E11</f>
        <v>0.99843749999999998</v>
      </c>
      <c r="F12" s="4">
        <f t="shared" si="0"/>
        <v>-0.12625000000000552</v>
      </c>
      <c r="G12" s="5">
        <v>800</v>
      </c>
      <c r="H12" s="5">
        <v>780</v>
      </c>
      <c r="I12" s="5">
        <f t="shared" si="1"/>
        <v>-20</v>
      </c>
      <c r="J12" s="6">
        <v>3</v>
      </c>
      <c r="K12" s="6">
        <v>2.9</v>
      </c>
      <c r="L12" s="6">
        <f t="shared" si="2"/>
        <v>-0.10000000000000009</v>
      </c>
      <c r="M12" s="7">
        <v>0.1</v>
      </c>
      <c r="N12" s="7">
        <v>0.08</v>
      </c>
      <c r="O12" s="5">
        <f t="shared" si="3"/>
        <v>-2.0000000000000004</v>
      </c>
      <c r="P12" s="5">
        <v>10</v>
      </c>
      <c r="Q12" s="5">
        <v>44</v>
      </c>
      <c r="R12" s="5">
        <f t="shared" si="4"/>
        <v>34</v>
      </c>
      <c r="S12" s="6">
        <v>4.2</v>
      </c>
      <c r="T12" s="6">
        <v>4.5</v>
      </c>
      <c r="U12" s="6">
        <f t="shared" si="5"/>
        <v>0.29999999999999982</v>
      </c>
    </row>
    <row r="18" spans="1:21" x14ac:dyDescent="0.25">
      <c r="A18" s="2" t="s">
        <v>38</v>
      </c>
      <c r="B18" s="8"/>
      <c r="C18" s="8"/>
      <c r="D18" s="8"/>
      <c r="E18" s="2">
        <f>SUMPRODUCT(--(E3:E12&gt;=D3:D12))</f>
        <v>5</v>
      </c>
      <c r="F18" s="8"/>
      <c r="G18" s="8"/>
      <c r="H18" s="2">
        <f>SUMPRODUCT(--(H3:H12&lt;=G3:G12))</f>
        <v>5</v>
      </c>
      <c r="I18" s="8"/>
      <c r="J18" s="8"/>
      <c r="K18" s="2">
        <f>SUMPRODUCT(--(K3:K12&lt;=J3:J12))</f>
        <v>9</v>
      </c>
      <c r="L18" s="8"/>
      <c r="M18" s="8"/>
      <c r="N18" s="2">
        <f>SUMPRODUCT(--(N3:N12&lt;=M3:M12))</f>
        <v>8</v>
      </c>
      <c r="O18" s="8"/>
      <c r="P18" s="8"/>
      <c r="Q18" s="2">
        <f>SUMPRODUCT(--(Q3:Q12&lt;=P3:P12))</f>
        <v>5</v>
      </c>
      <c r="R18" s="8"/>
      <c r="S18" s="8"/>
      <c r="T18" s="2">
        <f>SUMPRODUCT(--(T3:T12&lt;=S3:S12))</f>
        <v>1</v>
      </c>
      <c r="U18" s="8"/>
    </row>
    <row r="19" spans="1:21" x14ac:dyDescent="0.25">
      <c r="A19" s="11" t="s">
        <v>39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1:21" x14ac:dyDescent="0.25">
      <c r="A20" s="11" t="s">
        <v>40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</sheetData>
  <mergeCells count="2">
    <mergeCell ref="A20:T20"/>
    <mergeCell ref="A19:T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zoomScale="85" zoomScaleNormal="85" workbookViewId="0">
      <selection activeCell="W24" sqref="W24"/>
    </sheetView>
  </sheetViews>
  <sheetFormatPr defaultColWidth="8.7109375" defaultRowHeight="15" x14ac:dyDescent="0.25"/>
  <sheetData>
    <row r="1" spans="1:1" x14ac:dyDescent="0.25">
      <c r="A1" s="1" t="s">
        <v>41</v>
      </c>
    </row>
    <row r="2" spans="1:1" x14ac:dyDescent="0.25">
      <c r="A2" s="1" t="s">
        <v>42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zoomScaleNormal="100" workbookViewId="0">
      <selection activeCell="I21" sqref="I21"/>
    </sheetView>
  </sheetViews>
  <sheetFormatPr defaultColWidth="8.7109375" defaultRowHeight="15" x14ac:dyDescent="0.25"/>
  <cols>
    <col min="2" max="3" width="20" bestFit="1" customWidth="1"/>
    <col min="4" max="4" width="22.85546875" bestFit="1" customWidth="1"/>
    <col min="5" max="5" width="17.85546875" bestFit="1" customWidth="1"/>
    <col min="6" max="6" width="19.85546875" bestFit="1" customWidth="1"/>
    <col min="7" max="7" width="17.42578125" bestFit="1" customWidth="1"/>
    <col min="8" max="8" width="37.140625" bestFit="1" customWidth="1"/>
  </cols>
  <sheetData>
    <row r="1" spans="1:8" x14ac:dyDescent="0.25">
      <c r="A1" s="2" t="s">
        <v>0</v>
      </c>
      <c r="B1" s="2" t="s">
        <v>43</v>
      </c>
      <c r="C1" s="2" t="s">
        <v>44</v>
      </c>
      <c r="D1" s="2" t="s">
        <v>45</v>
      </c>
      <c r="E1" s="2" t="s">
        <v>46</v>
      </c>
    </row>
    <row r="2" spans="1:8" x14ac:dyDescent="0.25">
      <c r="A2" s="2" t="s">
        <v>23</v>
      </c>
      <c r="B2" s="2">
        <v>4</v>
      </c>
      <c r="C2" s="9">
        <f t="shared" ref="C2:C11" si="0">B2*7*1440</f>
        <v>40320</v>
      </c>
      <c r="D2" s="2">
        <v>40</v>
      </c>
      <c r="E2" s="3">
        <f t="shared" ref="E2:E11" si="1">1-D2/C2</f>
        <v>0.99900793650793651</v>
      </c>
    </row>
    <row r="3" spans="1:8" x14ac:dyDescent="0.25">
      <c r="A3" s="2" t="s">
        <v>25</v>
      </c>
      <c r="B3" s="2">
        <v>8</v>
      </c>
      <c r="C3" s="9">
        <f t="shared" si="0"/>
        <v>80640</v>
      </c>
      <c r="D3" s="2">
        <v>44</v>
      </c>
      <c r="E3" s="3">
        <f t="shared" si="1"/>
        <v>0.99945436507936503</v>
      </c>
    </row>
    <row r="4" spans="1:8" x14ac:dyDescent="0.25">
      <c r="A4" s="2" t="s">
        <v>27</v>
      </c>
      <c r="B4" s="2">
        <v>4</v>
      </c>
      <c r="C4" s="9">
        <f t="shared" si="0"/>
        <v>40320</v>
      </c>
      <c r="D4" s="2">
        <v>12</v>
      </c>
      <c r="E4" s="3">
        <f t="shared" si="1"/>
        <v>0.99970238095238095</v>
      </c>
    </row>
    <row r="5" spans="1:8" x14ac:dyDescent="0.25">
      <c r="A5" s="2" t="s">
        <v>29</v>
      </c>
      <c r="B5" s="2">
        <v>6</v>
      </c>
      <c r="C5" s="9">
        <f t="shared" si="0"/>
        <v>60480</v>
      </c>
      <c r="D5" s="2">
        <v>55</v>
      </c>
      <c r="E5" s="3">
        <f t="shared" si="1"/>
        <v>0.99909060846560849</v>
      </c>
    </row>
    <row r="6" spans="1:8" x14ac:dyDescent="0.25">
      <c r="A6" s="2" t="s">
        <v>31</v>
      </c>
      <c r="B6" s="2">
        <v>4</v>
      </c>
      <c r="C6" s="9">
        <f t="shared" si="0"/>
        <v>40320</v>
      </c>
      <c r="D6" s="2">
        <v>6</v>
      </c>
      <c r="E6" s="3">
        <f t="shared" si="1"/>
        <v>0.99985119047619042</v>
      </c>
    </row>
    <row r="7" spans="1:8" x14ac:dyDescent="0.25">
      <c r="A7" s="2" t="s">
        <v>33</v>
      </c>
      <c r="B7" s="2">
        <v>6</v>
      </c>
      <c r="C7" s="9">
        <f t="shared" si="0"/>
        <v>60480</v>
      </c>
      <c r="D7" s="2">
        <v>134</v>
      </c>
      <c r="E7" s="3">
        <f t="shared" si="1"/>
        <v>0.99778439153439158</v>
      </c>
    </row>
    <row r="8" spans="1:8" x14ac:dyDescent="0.25">
      <c r="A8" s="2" t="s">
        <v>34</v>
      </c>
      <c r="B8" s="2">
        <v>8</v>
      </c>
      <c r="C8" s="9">
        <f t="shared" si="0"/>
        <v>80640</v>
      </c>
      <c r="D8" s="2">
        <v>23</v>
      </c>
      <c r="E8" s="3">
        <f t="shared" si="1"/>
        <v>0.99971478174603179</v>
      </c>
    </row>
    <row r="9" spans="1:8" x14ac:dyDescent="0.25">
      <c r="A9" s="2" t="s">
        <v>35</v>
      </c>
      <c r="B9" s="2">
        <v>4</v>
      </c>
      <c r="C9" s="9">
        <f t="shared" si="0"/>
        <v>40320</v>
      </c>
      <c r="D9" s="2">
        <v>5</v>
      </c>
      <c r="E9" s="3">
        <f t="shared" si="1"/>
        <v>0.99987599206349209</v>
      </c>
    </row>
    <row r="10" spans="1:8" x14ac:dyDescent="0.25">
      <c r="A10" s="2" t="s">
        <v>36</v>
      </c>
      <c r="B10" s="2">
        <v>4</v>
      </c>
      <c r="C10" s="9">
        <f t="shared" si="0"/>
        <v>40320</v>
      </c>
      <c r="D10" s="2">
        <v>5</v>
      </c>
      <c r="E10" s="3">
        <f t="shared" si="1"/>
        <v>0.99987599206349209</v>
      </c>
    </row>
    <row r="11" spans="1:8" x14ac:dyDescent="0.25">
      <c r="A11" s="2" t="s">
        <v>37</v>
      </c>
      <c r="B11" s="2">
        <v>8</v>
      </c>
      <c r="C11" s="9">
        <f t="shared" si="0"/>
        <v>80640</v>
      </c>
      <c r="D11" s="2">
        <v>126</v>
      </c>
      <c r="E11" s="3">
        <f t="shared" si="1"/>
        <v>0.99843749999999998</v>
      </c>
    </row>
    <row r="15" spans="1:8" x14ac:dyDescent="0.25">
      <c r="A15" s="2" t="s">
        <v>47</v>
      </c>
      <c r="B15" s="2" t="s">
        <v>48</v>
      </c>
      <c r="C15" s="2" t="s">
        <v>49</v>
      </c>
      <c r="D15" s="2" t="s">
        <v>45</v>
      </c>
      <c r="E15" s="2" t="s">
        <v>46</v>
      </c>
      <c r="F15" s="2" t="s">
        <v>50</v>
      </c>
      <c r="G15" s="2" t="s">
        <v>51</v>
      </c>
      <c r="H15" s="2" t="s">
        <v>52</v>
      </c>
    </row>
    <row r="16" spans="1:8" x14ac:dyDescent="0.25">
      <c r="A16" s="2" t="s">
        <v>53</v>
      </c>
      <c r="B16" s="2" t="s">
        <v>54</v>
      </c>
      <c r="C16" s="9">
        <v>43200</v>
      </c>
      <c r="D16" s="2">
        <v>37</v>
      </c>
      <c r="E16" s="3">
        <f t="shared" ref="E16:E27" si="2">1-D16/C16</f>
        <v>0.99914351851851857</v>
      </c>
      <c r="F16" s="7">
        <f t="shared" ref="F16:F27" si="3">IF(E16&gt;=0.9995,0,IF(E16&gt;=0.999,0.01,IF(E16&gt;=0.995,0.03,IF(E16&gt;=0.99,0.05,0.1))))</f>
        <v>0.01</v>
      </c>
      <c r="G16" s="6" t="e">
        <f>F16*IF(B16="2026",#REF!,#REF!)</f>
        <v>#REF!</v>
      </c>
      <c r="H16" s="2" t="s">
        <v>55</v>
      </c>
    </row>
    <row r="17" spans="1:8" x14ac:dyDescent="0.25">
      <c r="A17" s="2" t="s">
        <v>56</v>
      </c>
      <c r="B17" s="2" t="s">
        <v>54</v>
      </c>
      <c r="C17" s="9">
        <v>44640</v>
      </c>
      <c r="D17" s="2">
        <v>39</v>
      </c>
      <c r="E17" s="3">
        <f t="shared" si="2"/>
        <v>0.99912634408602152</v>
      </c>
      <c r="F17" s="7">
        <f t="shared" si="3"/>
        <v>0.01</v>
      </c>
      <c r="G17" s="6" t="e">
        <f>F17*IF(B17="2026",#REF!,#REF!)</f>
        <v>#REF!</v>
      </c>
      <c r="H17" s="2" t="s">
        <v>57</v>
      </c>
    </row>
    <row r="18" spans="1:8" x14ac:dyDescent="0.25">
      <c r="A18" s="2" t="s">
        <v>58</v>
      </c>
      <c r="B18" s="2" t="s">
        <v>59</v>
      </c>
      <c r="C18" s="9">
        <v>44640</v>
      </c>
      <c r="D18" s="2">
        <v>8</v>
      </c>
      <c r="E18" s="3">
        <f t="shared" si="2"/>
        <v>0.99982078853046596</v>
      </c>
      <c r="F18" s="7">
        <f t="shared" si="3"/>
        <v>0</v>
      </c>
      <c r="G18" s="6" t="e">
        <f>F18*IF(B18="2026",#REF!,#REF!)</f>
        <v>#REF!</v>
      </c>
      <c r="H18" s="2"/>
    </row>
    <row r="19" spans="1:8" x14ac:dyDescent="0.25">
      <c r="A19" s="2" t="s">
        <v>60</v>
      </c>
      <c r="B19" s="2" t="s">
        <v>59</v>
      </c>
      <c r="C19" s="9">
        <v>40320</v>
      </c>
      <c r="D19" s="2">
        <v>6</v>
      </c>
      <c r="E19" s="3">
        <f t="shared" si="2"/>
        <v>0.99985119047619042</v>
      </c>
      <c r="F19" s="7">
        <f t="shared" si="3"/>
        <v>0</v>
      </c>
      <c r="G19" s="6" t="e">
        <f>F19*IF(B19="2026",#REF!,#REF!)</f>
        <v>#REF!</v>
      </c>
      <c r="H19" s="2"/>
    </row>
    <row r="20" spans="1:8" x14ac:dyDescent="0.25">
      <c r="A20" s="2" t="s">
        <v>61</v>
      </c>
      <c r="B20" s="2" t="s">
        <v>59</v>
      </c>
      <c r="C20" s="9">
        <v>44640</v>
      </c>
      <c r="D20" s="2">
        <v>52</v>
      </c>
      <c r="E20" s="3">
        <f t="shared" si="2"/>
        <v>0.99883512544802866</v>
      </c>
      <c r="F20" s="7">
        <f t="shared" si="3"/>
        <v>0.03</v>
      </c>
      <c r="G20" s="6" t="e">
        <f>F20*IF(B20="2026",#REF!,#REF!)</f>
        <v>#REF!</v>
      </c>
      <c r="H20" s="2" t="s">
        <v>62</v>
      </c>
    </row>
    <row r="21" spans="1:8" x14ac:dyDescent="0.25">
      <c r="A21" s="2" t="s">
        <v>63</v>
      </c>
      <c r="B21" s="2" t="s">
        <v>59</v>
      </c>
      <c r="C21" s="9">
        <v>43200</v>
      </c>
      <c r="D21" s="2">
        <v>6</v>
      </c>
      <c r="E21" s="3">
        <f t="shared" si="2"/>
        <v>0.99986111111111109</v>
      </c>
      <c r="F21" s="7">
        <f t="shared" si="3"/>
        <v>0</v>
      </c>
      <c r="G21" s="6" t="e">
        <f>F21*IF(B21="2026",#REF!,#REF!)</f>
        <v>#REF!</v>
      </c>
      <c r="H21" s="2"/>
    </row>
    <row r="22" spans="1:8" x14ac:dyDescent="0.25">
      <c r="A22" s="2" t="s">
        <v>64</v>
      </c>
      <c r="B22" s="2" t="s">
        <v>59</v>
      </c>
      <c r="C22" s="9">
        <v>44640</v>
      </c>
      <c r="D22" s="2">
        <v>132</v>
      </c>
      <c r="E22" s="3">
        <f t="shared" si="2"/>
        <v>0.9970430107526882</v>
      </c>
      <c r="F22" s="7">
        <f t="shared" si="3"/>
        <v>0.03</v>
      </c>
      <c r="G22" s="6" t="e">
        <f>F22*IF(B22="2026",#REF!,#REF!)</f>
        <v>#REF!</v>
      </c>
      <c r="H22" s="2" t="s">
        <v>65</v>
      </c>
    </row>
    <row r="23" spans="1:8" x14ac:dyDescent="0.25">
      <c r="A23" s="2" t="s">
        <v>66</v>
      </c>
      <c r="B23" s="2" t="s">
        <v>59</v>
      </c>
      <c r="C23" s="9">
        <v>43200</v>
      </c>
      <c r="D23" s="2">
        <v>4</v>
      </c>
      <c r="E23" s="3">
        <f t="shared" si="2"/>
        <v>0.99990740740740736</v>
      </c>
      <c r="F23" s="7">
        <f t="shared" si="3"/>
        <v>0</v>
      </c>
      <c r="G23" s="6" t="e">
        <f>F23*IF(B23="2026",#REF!,#REF!)</f>
        <v>#REF!</v>
      </c>
      <c r="H23" s="2"/>
    </row>
    <row r="24" spans="1:8" x14ac:dyDescent="0.25">
      <c r="A24" s="2" t="s">
        <v>67</v>
      </c>
      <c r="B24" s="2" t="s">
        <v>59</v>
      </c>
      <c r="C24" s="9">
        <v>44640</v>
      </c>
      <c r="D24" s="2">
        <v>19</v>
      </c>
      <c r="E24" s="3">
        <f t="shared" si="2"/>
        <v>0.99957437275985661</v>
      </c>
      <c r="F24" s="7">
        <f t="shared" si="3"/>
        <v>0</v>
      </c>
      <c r="G24" s="6" t="e">
        <f>F24*IF(B24="2026",#REF!,#REF!)</f>
        <v>#REF!</v>
      </c>
      <c r="H24" s="2" t="s">
        <v>68</v>
      </c>
    </row>
    <row r="25" spans="1:8" x14ac:dyDescent="0.25">
      <c r="A25" s="2" t="s">
        <v>69</v>
      </c>
      <c r="B25" s="2" t="s">
        <v>59</v>
      </c>
      <c r="C25" s="9">
        <v>44640</v>
      </c>
      <c r="D25" s="2">
        <v>5</v>
      </c>
      <c r="E25" s="3">
        <f t="shared" si="2"/>
        <v>0.99988799283154117</v>
      </c>
      <c r="F25" s="7">
        <f t="shared" si="3"/>
        <v>0</v>
      </c>
      <c r="G25" s="6" t="e">
        <f>F25*IF(B25="2026",#REF!,#REF!)</f>
        <v>#REF!</v>
      </c>
      <c r="H25" s="2"/>
    </row>
    <row r="26" spans="1:8" x14ac:dyDescent="0.25">
      <c r="A26" s="2" t="s">
        <v>70</v>
      </c>
      <c r="B26" s="2" t="s">
        <v>59</v>
      </c>
      <c r="C26" s="9">
        <v>43200</v>
      </c>
      <c r="D26" s="2">
        <v>5</v>
      </c>
      <c r="E26" s="3">
        <f t="shared" si="2"/>
        <v>0.99988425925925928</v>
      </c>
      <c r="F26" s="7">
        <f t="shared" si="3"/>
        <v>0</v>
      </c>
      <c r="G26" s="6" t="e">
        <f>F26*IF(B26="2026",#REF!,#REF!)</f>
        <v>#REF!</v>
      </c>
      <c r="H26" s="2" t="s">
        <v>71</v>
      </c>
    </row>
    <row r="27" spans="1:8" x14ac:dyDescent="0.25">
      <c r="A27" s="2" t="s">
        <v>72</v>
      </c>
      <c r="B27" s="2" t="s">
        <v>59</v>
      </c>
      <c r="C27" s="9">
        <v>44640</v>
      </c>
      <c r="D27" s="2">
        <v>122</v>
      </c>
      <c r="E27" s="3">
        <f t="shared" si="2"/>
        <v>0.99726702508960574</v>
      </c>
      <c r="F27" s="7">
        <f t="shared" si="3"/>
        <v>0.03</v>
      </c>
      <c r="G27" s="6" t="e">
        <f>F27*IF(B27="2026",#REF!,#REF!)</f>
        <v>#REF!</v>
      </c>
      <c r="H27" s="2" t="s">
        <v>73</v>
      </c>
    </row>
    <row r="28" spans="1:8" x14ac:dyDescent="0.25">
      <c r="A28" s="2" t="s">
        <v>74</v>
      </c>
      <c r="B28" s="8"/>
      <c r="C28" s="8"/>
      <c r="D28" s="2">
        <f>SUM(D16:D27)</f>
        <v>435</v>
      </c>
      <c r="E28" s="3">
        <f>1-D28/SUM(C16:C27)</f>
        <v>0.9991723744292238</v>
      </c>
      <c r="F28" s="8"/>
      <c r="G28" s="10" t="e">
        <f>SUM(G16:G27)</f>
        <v>#REF!</v>
      </c>
      <c r="H28" s="8"/>
    </row>
    <row r="30" spans="1:8" x14ac:dyDescent="0.25">
      <c r="A30" s="1" t="s">
        <v>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Динамика</vt:lpstr>
      <vt:lpstr>Графики</vt:lpstr>
      <vt:lpstr>Доступность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егор иванов</cp:lastModifiedBy>
  <cp:revision>1</cp:revision>
  <dcterms:created xsi:type="dcterms:W3CDTF">2026-10-19T14:20:18Z</dcterms:created>
  <dcterms:modified xsi:type="dcterms:W3CDTF">2026-10-19T14:28:25Z</dcterms:modified>
  <dc:language>en-US</dc:language>
</cp:coreProperties>
</file>